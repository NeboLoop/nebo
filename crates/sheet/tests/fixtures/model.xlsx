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svg" ContentType="image/svg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Lookups" sheetId="2" r:id="rId2"/>
    <sheet name="Model" sheetId="3" r:id="rId3"/>
  </sheets>
  <definedNames>
    <definedName name="growth">Inputs!$B$3</definedName>
    <definedName name="price">Inputs!$B$2</definedName>
  </definedNames>
  <calcPr calcId="191029" fullCalcOnLoad="1"/>
</workbook>
</file>

<file path=xl/calcChain.xml><?xml version="1.0" encoding="utf-8"?>
<calcChain xmlns="http://schemas.openxmlformats.org/spreadsheetml/2006/main">
  <c r="B3" i="3"/>
  <c r="C3"/>
</calcChain>
</file>

<file path=xl/sharedStrings.xml><?xml version="1.0" encoding="utf-8"?>
<sst xmlns="http://schemas.openxmlformats.org/spreadsheetml/2006/main" count="18" uniqueCount="18">
  <si>
    <t>Input</t>
  </si>
  <si>
    <t>Value</t>
  </si>
  <si>
    <t>Price</t>
  </si>
  <si>
    <t>Monthly growth</t>
  </si>
  <si>
    <t>Start customers</t>
  </si>
  <si>
    <t>Tier</t>
  </si>
  <si>
    <t>Pro</t>
  </si>
  <si>
    <t>Discount</t>
  </si>
  <si>
    <t>Seats</t>
  </si>
  <si>
    <t>Basic</t>
  </si>
  <si>
    <t>Max</t>
  </si>
  <si>
    <t>Monthly Model</t>
  </si>
  <si>
    <t>Month</t>
  </si>
  <si>
    <t>Customers</t>
  </si>
  <si>
    <t>Revenue</t>
  </si>
  <si>
    <t>Flag</t>
  </si>
  <si>
    <t>Total</t>
  </si>
  <si>
    <t>Min/Max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</si>
</sst>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D8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/>
    <xf numFmtId="0" fontId="1" fillId="0" borderId="0" applyFont="1"/>
    <xf numFmtId="164" fontId="0" fillId="0" borderId="0" applyNumberFormat="1" applyProtection="1">
      <protection locked="0"/>
    </xf>
    <xf numFmtId="165" fontId="0" fillId="0" borderId="0" applyNumberFormat="1" applyProtection="1">
      <protection locked="0"/>
    </xf>
    <xf numFmtId="0" fontId="0" fillId="0" borderId="0" applyProtection="1">
      <protection locked="0"/>
    </xf>
    <xf numFmtId="166" fontId="0" fillId="0" borderId="0" applyNumberFormat="1"/>
    <xf numFmtId="166" fontId="1" fillId="0" border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Relationship Id="rId9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cat>
            <c:strRef>
              <c:f>'Model'!$A$3:$A$5</c:f>
            </c:strRef>
          </c:cat>
          <c:val>
            <c:numRef>
              <c:f>'Model'!$C$3:$C$5</c:f>
            </c:numRef>
          </c:val>
        </c:ser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6350">
          <a:solidFill>
            <a:schemeClr val="phClr"/>
          </a:solidFill>
        </a:ln>
        <a:ln w="63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472C4"/>
  </sheetPr>
  <sheetViews>
    <sheetView tabSelected="1" workbookViewId="0">
      <pane xSplit="1" ySplit="1" topLeftCell="B2" activePane="bottomRight" state="frozen"/>
      <selection pane="bottomRight" activeCell="B2" sqref="B2"/>
    </sheetView>
  </sheetViews>
  <cols>
    <col min="1" max="1" width="24" customWidth="1"/>
    <col min="2" max="2" width="12" customWidth="1"/>
  </cols>
  <sheetData>
    <row r="1" ht="24" customHeight="1">
      <c r="A1" t="s" s="1">
        <v>0</v>
      </c>
      <c r="B1" t="s" s="2">
        <v>1</v>
      </c>
    </row>
    <row r="2">
      <c r="A2" t="s">
        <v>2</v>
      </c>
      <c r="B2" s="3">
        <v>30</v>
      </c>
    </row>
    <row r="3">
      <c r="A3" t="s">
        <v>3</v>
      </c>
      <c r="B3" s="4">
        <v>0.1</v>
      </c>
    </row>
    <row r="4">
      <c r="A4" t="s">
        <v>4</v>
      </c>
      <c r="B4" s="5">
        <v>100</v>
      </c>
    </row>
    <row r="5">
      <c r="A5" t="s">
        <v>5</v>
      </c>
      <c r="B5" t="s" s="5">
        <v>6</v>
      </c>
    </row>
  </sheetData>
  <sheetProtection sheet="1" objects="1" scenarios="1"/>
  <dataValidations count="1">
    <dataValidation type="list" allowBlank="1" showInputMessage="1" showErrorMessage="1" sqref="B5">
      <formula1>"Basic,Pro,Max"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  <c r="B1" t="s">
        <v>7</v>
      </c>
      <c r="C1" t="s">
        <v>8</v>
      </c>
    </row>
    <row r="2">
      <c r="A2" t="s">
        <v>9</v>
      </c>
      <c r="B2">
        <v>0</v>
      </c>
      <c r="C2">
        <v>1</v>
      </c>
    </row>
    <row r="3">
      <c r="A3" t="s">
        <v>6</v>
      </c>
      <c r="B3">
        <v>0.1</v>
      </c>
      <c r="C3">
        <v>5</v>
      </c>
    </row>
    <row r="4">
      <c r="A4" t="s">
        <v>10</v>
      </c>
      <c r="B4">
        <v>0.2</v>
      </c>
      <c r="C4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 s="2">
        <v>11</v>
      </c>
    </row>
    <row r="2">
      <c r="A2" t="s">
        <v>12</v>
      </c>
      <c r="B2" t="s">
        <v>13</v>
      </c>
      <c r="C2" t="s">
        <v>14</v>
      </c>
      <c r="D2" t="s">
        <v>15</v>
      </c>
    </row>
    <row r="3">
      <c r="A3">
        <v>1</v>
      </c>
      <c r="B3">
        <f>Inputs!B4</f>
        <v>100</v>
      </c>
      <c r="C3" s="6">
        <f>B3*price*(1-INDEX(Lookups!B2:B4,MATCH(Inputs!B5,Lookups!A2:A4,0)))</f>
        <v>2700</v>
      </c>
      <c r="D3" t="str">
        <f>IF(C3&gt;5000,"big","small")</f>
        <v>small</v>
      </c>
    </row>
    <row r="4">
      <c r="A4">
        <v>2</v>
      </c>
      <c r="B4">
        <f>ROUNDUP(B3*(1+growth),0)</f>
        <v>110</v>
      </c>
      <c r="C4" s="6">
        <f>B4*price*(1-_xlfn.XLOOKUP(Inputs!B5,Lookups!A2:A4,Lookups!B2:B4))</f>
        <v>2970</v>
      </c>
      <c r="D4" t="str">
        <f>IF(C4&gt;5000,"big","small")</f>
        <v>small</v>
      </c>
    </row>
    <row r="5">
      <c r="A5">
        <v>3</v>
      </c>
      <c r="B5">
        <f>ROUNDUP(B4*(1+growth),0)</f>
        <v>121</v>
      </c>
      <c r="C5" s="6">
        <f>B5*price</f>
        <v>3630</v>
      </c>
      <c r="D5" t="str">
        <f>CHOOSE(MATCH(Inputs!B5,Lookups!A2:A4,0),"one","two","three")</f>
        <v>two</v>
      </c>
    </row>
    <row r="6">
      <c r="A6" t="s">
        <v>16</v>
      </c>
      <c r="B6">
        <f>SUM(B3:B5)</f>
        <v>331</v>
      </c>
      <c r="C6" s="7">
        <f>SUM(C3:C5)</f>
        <v>9300</v>
      </c>
    </row>
    <row r="7">
      <c r="A7" t="s">
        <v>17</v>
      </c>
      <c r="B7">
        <f>MIN(B3:B5)</f>
        <v>100</v>
      </c>
      <c r="C7" s="6">
        <f>MAX(C3:C5)</f>
        <v>3630</v>
      </c>
    </row>
    <row r="8">
      <c r="A8" t="s">
        <v>8</v>
      </c>
      <c r="B8">
        <f>VLOOKUP(Inputs!B5,Lookups!A2:C4,3,FALSE)</f>
        <v>5</v>
      </c>
      <c r="C8">
        <f>SUMIF(D3:D5,"small",C3:C5)</f>
        <v>5670</v>
      </c>
    </row>
  </sheetData>
  <mergeCells count="1">
    <mergeCell ref="A1:D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Formula Spike</dc:title>
  <dcterms:created xsi:type="dcterms:W3CDTF">2026-10-07T02:07:30Z</dcterms:created>
  <dcterms:modified xsi:type="dcterms:W3CDTF">2026-10-07T02:07:30Z</dcterms:modified>
  <cp:revision>1</cp:revision>
</cp:coreProperties>
</file>